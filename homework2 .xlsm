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617" codeName="{00000000-0000-0000-0000-000000000000}"/>
  <workbookPr filterPrivacy="1" codeName="ЭтаКнига"/>
  <xr:revisionPtr revIDLastSave="0" documentId="8_{E0CA33BA-1604-4A14-8C49-8BB858C1C8F5}" xr6:coauthVersionLast="47" xr6:coauthVersionMax="47" xr10:uidLastSave="{00000000-0000-0000-0000-000000000000}"/>
  <bookViews>
    <workbookView xWindow="0" yWindow="0" windowWidth="23040" windowHeight="9384" firstSheet="2" activeTab="1" xr2:uid="{00000000-000D-0000-FFFF-FFFF00000000}"/>
  </bookViews>
  <sheets>
    <sheet name="ГУ 1 рода" sheetId="1" r:id="rId1"/>
    <sheet name="ГУ 2 рода" sheetId="2" r:id="rId2"/>
    <sheet name="ГУ 3 рода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3" i="3" l="1"/>
  <c r="C4" i="3"/>
  <c r="F13" i="3" l="1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C5" i="3"/>
  <c r="AI15" i="3"/>
  <c r="F16" i="2"/>
  <c r="C4" i="2"/>
  <c r="C4" i="1"/>
  <c r="C5" i="1" s="1"/>
  <c r="C5" i="2" l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G15" i="3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J13" i="1" l="1"/>
  <c r="AI15" i="1" s="1"/>
  <c r="F13" i="1"/>
  <c r="G15" i="1" s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2"/>
  <c r="H15" i="2"/>
  <c r="P15" i="2"/>
  <c r="X15" i="2"/>
  <c r="AF15" i="2"/>
  <c r="N15" i="2"/>
  <c r="V15" i="2"/>
  <c r="AD15" i="2"/>
  <c r="I15" i="2"/>
  <c r="Q15" i="2"/>
  <c r="Y15" i="2"/>
  <c r="AG15" i="2"/>
  <c r="O15" i="2"/>
  <c r="W15" i="2"/>
  <c r="AE15" i="2"/>
  <c r="H16" i="2"/>
  <c r="X16" i="2"/>
  <c r="Z15" i="2"/>
  <c r="AH16" i="2"/>
  <c r="AH15" i="2"/>
  <c r="U15" i="2"/>
  <c r="U16" i="2"/>
  <c r="AC15" i="2"/>
  <c r="S15" i="2"/>
  <c r="AA16" i="2"/>
  <c r="AA15" i="2"/>
  <c r="Z16" i="2"/>
  <c r="AC16" i="2"/>
  <c r="S16" i="2"/>
  <c r="O16" i="2"/>
  <c r="AE16" i="2"/>
  <c r="T16" i="2"/>
  <c r="T15" i="2"/>
  <c r="AB15" i="2"/>
  <c r="AB16" i="2"/>
  <c r="N16" i="2"/>
  <c r="AD16" i="2"/>
  <c r="M16" i="2"/>
  <c r="M15" i="2"/>
  <c r="K16" i="2"/>
  <c r="K15" i="2"/>
  <c r="L16" i="2"/>
  <c r="L15" i="2"/>
  <c r="P16" i="2"/>
  <c r="AF16" i="2"/>
  <c r="J16" i="2"/>
  <c r="J15" i="2"/>
  <c r="R15" i="2"/>
  <c r="R16" i="2"/>
  <c r="V16" i="2"/>
  <c r="I16" i="2"/>
  <c r="Y16" i="2"/>
  <c r="AI16" i="2"/>
  <c r="AI15" i="2"/>
  <c r="Q16" i="2"/>
  <c r="AG16" i="2"/>
  <c r="W16" i="2"/>
  <c r="G16" i="2" l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<sst xmlns="http://schemas.openxmlformats.org/spreadsheetml/2006/main" count="38" uniqueCount="15">
  <si>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</si>
  <si>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</si>
  <si>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</si>
  <si>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</si>
  <si>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</si>
  <si>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</si>
  <si>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lamda</t>
  </si>
  <si>
    <t>T_start</t>
  </si>
  <si>
    <t>T_end</t>
  </si>
  <si>
    <t>T</t>
  </si>
  <si>
    <t>T_iter</t>
  </si>
  <si>
    <t>q_start</t>
  </si>
  <si>
    <t>q</t>
  </si>
  <si>
    <t>T_gas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</si>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</sst>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/>
    <xf numFmtId="0" fontId="0" fillId="0" borderId="1" xfId="0" applyBorder="1"/>
    <xf numFmtId="165" fontId="0" fillId="0" borderId="0" xfId="0" applyNumberFormat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4472C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2752"/>
        <c:axId val="442579224"/>
      </c:scatterChart>
      <c:valAx>
        <c:axId val="442582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79224"/>
        <c:crosses val="autoZero"/>
        <c:crossBetween val="midCat"/>
      </c:valAx>
      <c:valAx>
        <c:axId val="442579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82752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1100811635651"/>
          <c:y val="3.0964491770925955E-2"/>
          <c:w val="0.79799141829891085"/>
          <c:h val="0.8507029280131315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E699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'ГУ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2E-46B3-BCC9-F9EF02EB1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0792"/>
        <c:axId val="442581576"/>
      </c:scatterChart>
      <c:valAx>
        <c:axId val="4425807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81576"/>
        <c:crosses val="autoZero"/>
        <c:crossBetween val="midCat"/>
      </c:valAx>
      <c:valAx>
        <c:axId val="442581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8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57011852736012E-2"/>
          <c:y val="5.828780713926196E-2"/>
          <c:w val="0.83031245788652952"/>
          <c:h val="0.8931390202446863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AD47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'ГУ 3 рода'!$F$12:$AJ$12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>
                  <c:v>953.10250589368536</c:v>
                </c:pt>
                <c:pt idx="1">
                  <c:v>957.83513274798747</c:v>
                </c:pt>
                <c:pt idx="2">
                  <c:v>962.58120264817671</c:v>
                </c:pt>
                <c:pt idx="3">
                  <c:v>967.34076789607286</c:v>
                </c:pt>
                <c:pt idx="4">
                  <c:v>972.11383622933818</c:v>
                </c:pt>
                <c:pt idx="5">
                  <c:v>976.90037075747352</c:v>
                </c:pt>
                <c:pt idx="6">
                  <c:v>981.70029014078068</c:v>
                </c:pt>
                <c:pt idx="7">
                  <c:v>986.51346878393315</c:v>
                </c:pt>
                <c:pt idx="8">
                  <c:v>991.33973734312667</c:v>
                </c:pt>
                <c:pt idx="9">
                  <c:v>996.17888317707309</c:v>
                </c:pt>
                <c:pt idx="10">
                  <c:v>1001.0306511726917</c:v>
                </c:pt>
                <c:pt idx="11">
                  <c:v>1005.8947444510402</c:v>
                </c:pt>
                <c:pt idx="12">
                  <c:v>1010.7708254966992</c:v>
                </c:pt>
                <c:pt idx="13">
                  <c:v>1015.6585171137008</c:v>
                </c:pt>
                <c:pt idx="14">
                  <c:v>1020.5574038389332</c:v>
                </c:pt>
                <c:pt idx="15">
                  <c:v>1025.4670331405362</c:v>
                </c:pt>
                <c:pt idx="16">
                  <c:v>1030.3869170913079</c:v>
                </c:pt>
                <c:pt idx="17">
                  <c:v>1035.3165337993137</c:v>
                </c:pt>
                <c:pt idx="18">
                  <c:v>1040.2553293134852</c:v>
                </c:pt>
                <c:pt idx="19">
                  <c:v>1045.2027192733567</c:v>
                </c:pt>
                <c:pt idx="20">
                  <c:v>1050.1580910158823</c:v>
                </c:pt>
                <c:pt idx="21">
                  <c:v>1055.1208054282843</c:v>
                </c:pt>
                <c:pt idx="22">
                  <c:v>1060.0901992226247</c:v>
                </c:pt>
                <c:pt idx="23">
                  <c:v>1065.0655869727748</c:v>
                </c:pt>
                <c:pt idx="24">
                  <c:v>1070.0462635214819</c:v>
                </c:pt>
                <c:pt idx="25">
                  <c:v>1075.0315061794981</c:v>
                </c:pt>
                <c:pt idx="26">
                  <c:v>1080.0205772287895</c:v>
                </c:pt>
                <c:pt idx="27">
                  <c:v>1085.0127262589572</c:v>
                </c:pt>
                <c:pt idx="28">
                  <c:v>1090.0071927298275</c:v>
                </c:pt>
                <c:pt idx="29">
                  <c:v>1095.0032084175398</c:v>
                </c:pt>
                <c:pt idx="30">
                  <c:v>1100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C1-495B-997E-45F600CE5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1968"/>
        <c:axId val="442583144"/>
      </c:scatterChart>
      <c:valAx>
        <c:axId val="4425819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83144"/>
        <c:crosses val="autoZero"/>
        <c:crossBetween val="midCat"/>
      </c:valAx>
      <c:valAx>
        <c:axId val="442583144"/>
        <c:scaling>
          <c:orientation val="minMax"/>
          <c:max val="125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81968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184841</xdr:colOff>
      <xdr:row>16</xdr:row>
      <xdr:rowOff>134729</xdr:rowOff>
    </xdr:from>
    <xdr:to>
      <xdr:col>10</xdr:col>
      <xdr:colOff>114300</xdr:colOff>
      <xdr:row>40</xdr:row>
      <xdr:rowOff>63775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234534</xdr:colOff>
      <xdr:row>17</xdr:row>
      <xdr:rowOff>8559</xdr:rowOff>
    </xdr:from>
    <xdr:ext cx="471005" cy="33986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SpPr txBox="1"/>
      </xdr:nvSpPr>
      <xdr:spPr>
        <a:xfrm>
          <a:off x="844134" y="3085134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8</xdr:col>
      <xdr:colOff>335859</xdr:colOff>
      <xdr:row>38</xdr:row>
      <xdr:rowOff>53286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00000000-0008-0000-0000-000003000000}"/>
                </a:ext>
              </a:extLst>
            </xdr:cNvPr>
            <xdr:cNvSpPr txBox="1"/>
          </xdr:nvSpPr>
          <xdr:spPr>
            <a:xfrm>
              <a:off x="4841184" y="6939861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135732</xdr:colOff>
      <xdr:row>17</xdr:row>
      <xdr:rowOff>167877</xdr:rowOff>
    </xdr:from>
    <xdr:to>
      <xdr:col>7</xdr:col>
      <xdr:colOff>534403</xdr:colOff>
      <xdr:row>38</xdr:row>
      <xdr:rowOff>91741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174958</xdr:colOff>
      <xdr:row>18</xdr:row>
      <xdr:rowOff>40606</xdr:rowOff>
    </xdr:from>
    <xdr:ext cx="471005" cy="33986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  <a:ext uri="{147F2762-F138-4A5C-976F-8EAC2B608ADB}">
              <a16:predDERef xmlns:a16="http://schemas.microsoft.com/office/drawing/2014/main" pred="{00000000-0008-0000-0100-000002000000}"/>
            </a:ext>
          </a:extLst>
        </xdr:cNvPr>
        <xdr:cNvSpPr txBox="1"/>
      </xdr:nvSpPr>
      <xdr:spPr>
        <a:xfrm>
          <a:off x="174958" y="3298156"/>
          <a:ext cx="471005" cy="339864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6</xdr:col>
      <xdr:colOff>407570</xdr:colOff>
      <xdr:row>36</xdr:row>
      <xdr:rowOff>102268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  <a:ext uri="{147F2762-F138-4A5C-976F-8EAC2B608ADB}">
                  <a16:predDERef xmlns:a16="http://schemas.microsoft.com/office/drawing/2014/main" pred="{00000000-0008-0000-0100-000004000000}"/>
                </a:ext>
              </a:extLst>
            </xdr:cNvPr>
            <xdr:cNvSpPr txBox="1"/>
          </xdr:nvSpPr>
          <xdr:spPr>
            <a:xfrm>
              <a:off x="4093745" y="6617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0.01078</cdr:x>
      <cdr:y>0.01298</cdr:y>
    </cdr:from>
    <cdr:to>
      <cdr:x>0.11078</cdr:x>
      <cdr:y>0.09979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" y="50800"/>
          <a:ext cx="471005" cy="33986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T,[C]</a:t>
          </a:r>
          <a:endParaRPr lang="ru-RU" sz="18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16</xdr:row>
      <xdr:rowOff>66673</xdr:rowOff>
    </xdr:from>
    <xdr:to>
      <xdr:col>8</xdr:col>
      <xdr:colOff>4762</xdr:colOff>
      <xdr:row>42</xdr:row>
      <xdr:rowOff>7144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352425</xdr:colOff>
      <xdr:row>16</xdr:row>
      <xdr:rowOff>95250</xdr:rowOff>
    </xdr:from>
    <xdr:ext cx="619125" cy="58340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  <a:ext uri="{147F2762-F138-4A5C-976F-8EAC2B608ADB}">
              <a16:predDERef xmlns:a16="http://schemas.microsoft.com/office/drawing/2014/main" pred="{00000000-0008-0000-0200-000002000000}"/>
            </a:ext>
          </a:extLst>
        </xdr:cNvPr>
        <xdr:cNvSpPr txBox="1"/>
      </xdr:nvSpPr>
      <xdr:spPr>
        <a:xfrm>
          <a:off x="352425" y="2990850"/>
          <a:ext cx="619125" cy="583406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7</xdr:col>
      <xdr:colOff>45243</xdr:colOff>
      <xdr:row>40</xdr:row>
      <xdr:rowOff>57150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  <a:ext uri="{147F2762-F138-4A5C-976F-8EAC2B608ADB}">
                  <a16:predDERef xmlns:a16="http://schemas.microsoft.com/office/drawing/2014/main" pred="{00000000-0008-0000-0200-000004000000}"/>
                </a:ext>
              </a:extLst>
            </xdr:cNvPr>
            <xdr:cNvSpPr txBox="1"/>
          </xdr:nvSpPr>
          <xdr:spPr>
            <a:xfrm>
              <a:off x="4341018" y="72961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29"/>
  <sheetViews>
    <sheetView topLeftCell="A26" zoomScale="70" zoomScaleNormal="70" workbookViewId="0">
      <selection activeCell="F13" sqref="F13"/>
    </sheetView>
  </sheetViews>
  <sheetFormatPr defaultRowHeight="14.45"/>
  <cols>
    <col min="3" max="3" width="9.5703125" bestFit="1" customWidth="1"/>
    <col min="6" max="10" width="7.140625" bestFit="1" customWidth="1"/>
    <col min="11" max="11" width="7.140625" customWidth="1"/>
    <col min="12" max="36" width="7.140625" bestFit="1" customWidth="1"/>
  </cols>
  <sheetData>
    <row r="3" spans="2:36">
      <c r="B3" s="2" t="s">
        <v>0</v>
      </c>
      <c r="C3" s="2">
        <v>0.1</v>
      </c>
    </row>
    <row r="4" spans="2:36">
      <c r="B4" s="2" t="s">
        <v>1</v>
      </c>
      <c r="C4" s="4">
        <f>C3/30</f>
        <v>3.3333333333333335E-3</v>
      </c>
    </row>
    <row r="5" spans="2:36">
      <c r="B5" s="2" t="s">
        <v>2</v>
      </c>
      <c r="C5" s="4">
        <f>(C9*C8*C4^2)/(2*C10)</f>
        <v>0.4333333333333334</v>
      </c>
    </row>
    <row r="6" spans="2:36">
      <c r="B6" s="2" t="s">
        <v>3</v>
      </c>
      <c r="C6" s="2">
        <v>500</v>
      </c>
      <c r="D6">
        <v>500.06666666666672</v>
      </c>
    </row>
    <row r="7" spans="2:36">
      <c r="B7" s="1"/>
      <c r="C7" s="1"/>
    </row>
    <row r="8" spans="2:36">
      <c r="B8" s="2" t="s">
        <v>4</v>
      </c>
      <c r="C8" s="2">
        <v>460</v>
      </c>
    </row>
    <row r="9" spans="2:36">
      <c r="B9" s="5" t="s">
        <v>5</v>
      </c>
      <c r="C9" s="5">
        <v>7800</v>
      </c>
    </row>
    <row r="10" spans="2:36">
      <c r="B10" s="2" t="s">
        <v>6</v>
      </c>
      <c r="C10" s="2">
        <v>46</v>
      </c>
    </row>
    <row r="11" spans="2:36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>
      <c r="B12" s="2" t="s">
        <v>7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2" t="s">
        <v>8</v>
      </c>
      <c r="C13" s="2">
        <v>100</v>
      </c>
      <c r="E13" t="s">
        <v>9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6">
      <c r="U29" s="6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16"/>
  <sheetViews>
    <sheetView tabSelected="1" topLeftCell="A11" zoomScale="70" zoomScaleNormal="70" workbookViewId="0">
      <selection activeCell="D6" sqref="D6"/>
    </sheetView>
  </sheetViews>
  <sheetFormatPr defaultRowHeight="14.45"/>
  <cols>
    <col min="3" max="3" width="9.5703125" bestFit="1" customWidth="1"/>
  </cols>
  <sheetData>
    <row r="3" spans="2:36">
      <c r="B3" s="2" t="s">
        <v>0</v>
      </c>
      <c r="C3" s="2">
        <v>0.1</v>
      </c>
    </row>
    <row r="4" spans="2:36">
      <c r="B4" s="2" t="s">
        <v>1</v>
      </c>
      <c r="C4" s="4">
        <f>C3/30</f>
        <v>3.3333333333333335E-3</v>
      </c>
    </row>
    <row r="5" spans="2:36">
      <c r="B5" s="2" t="s">
        <v>2</v>
      </c>
      <c r="C5" s="4">
        <f>(C9*C8*C4^2)/(2*C10)</f>
        <v>0.4333333333333334</v>
      </c>
    </row>
    <row r="6" spans="2:36">
      <c r="B6" s="2" t="s">
        <v>3</v>
      </c>
      <c r="C6" s="2">
        <v>5000</v>
      </c>
      <c r="D6" s="8">
        <v>5000</v>
      </c>
    </row>
    <row r="7" spans="2:36">
      <c r="B7" s="1"/>
      <c r="C7" s="1"/>
    </row>
    <row r="8" spans="2:36">
      <c r="B8" s="2" t="s">
        <v>4</v>
      </c>
      <c r="C8" s="2">
        <v>460</v>
      </c>
    </row>
    <row r="9" spans="2:36">
      <c r="B9" s="2" t="s">
        <v>5</v>
      </c>
      <c r="C9" s="2">
        <v>7800</v>
      </c>
    </row>
    <row r="10" spans="2:36">
      <c r="B10" s="2" t="s">
        <v>6</v>
      </c>
      <c r="C10" s="2">
        <v>46</v>
      </c>
    </row>
    <row r="11" spans="2:36">
      <c r="B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>
      <c r="B12" s="2" t="s">
        <v>11</v>
      </c>
      <c r="C12" s="2">
        <v>9200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2" t="s">
        <v>8</v>
      </c>
      <c r="C13" s="2">
        <v>100</v>
      </c>
      <c r="E13" t="s">
        <v>9</v>
      </c>
      <c r="F13" s="1">
        <v>300</v>
      </c>
      <c r="G13" s="1">
        <v>293.33333333333297</v>
      </c>
      <c r="H13" s="1">
        <v>286.66666666666595</v>
      </c>
      <c r="I13" s="1">
        <v>279.99999999999898</v>
      </c>
      <c r="J13" s="1">
        <v>273.33333333333206</v>
      </c>
      <c r="K13" s="1">
        <v>266.66666666666515</v>
      </c>
      <c r="L13" s="1">
        <v>259.99999999999829</v>
      </c>
      <c r="M13" s="1">
        <v>253.3333333333315</v>
      </c>
      <c r="N13" s="1">
        <v>246.66666666666472</v>
      </c>
      <c r="O13" s="1">
        <v>239.99999999999795</v>
      </c>
      <c r="P13" s="1">
        <v>233.33333333333121</v>
      </c>
      <c r="Q13" s="1">
        <v>226.6666666666645</v>
      </c>
      <c r="R13" s="1">
        <v>219.99999999999778</v>
      </c>
      <c r="S13" s="1">
        <v>213.3333333333311</v>
      </c>
      <c r="T13" s="1">
        <v>206.66666666666444</v>
      </c>
      <c r="U13" s="1">
        <v>199.99999999999778</v>
      </c>
      <c r="V13" s="1">
        <v>193.33333333333115</v>
      </c>
      <c r="W13" s="1">
        <v>186.66666666666453</v>
      </c>
      <c r="X13" s="1">
        <v>179.99999999999793</v>
      </c>
      <c r="Y13" s="1">
        <v>173.33333333333132</v>
      </c>
      <c r="Z13" s="1">
        <v>166.66666666666475</v>
      </c>
      <c r="AA13" s="1">
        <v>159.99999999999821</v>
      </c>
      <c r="AB13" s="1">
        <v>153.33333333333167</v>
      </c>
      <c r="AC13" s="1">
        <v>146.66666666666515</v>
      </c>
      <c r="AD13" s="1">
        <v>139.99999999999866</v>
      </c>
      <c r="AE13" s="1">
        <v>133.33333333333218</v>
      </c>
      <c r="AF13" s="1">
        <v>126.66666666666573</v>
      </c>
      <c r="AG13" s="1">
        <v>119.99999999999929</v>
      </c>
      <c r="AH13" s="1">
        <v>113.33333333333286</v>
      </c>
      <c r="AI13" s="1">
        <v>106.66666666666643</v>
      </c>
      <c r="AJ13" s="1">
        <v>100</v>
      </c>
    </row>
    <row r="15" spans="2:36">
      <c r="E15" t="s">
        <v>10</v>
      </c>
      <c r="F15" s="1"/>
      <c r="G15" s="1">
        <f>G13+(($C$10*$C$5)/($C$9*$C$8))*((H13-2*G13+F13)/($C$4^2))</f>
        <v>293.33333333333297</v>
      </c>
      <c r="H15" s="1">
        <f t="shared" ref="H15:AI15" si="1">H13+(($C$10*$C$5)/($C$9*$C$8))*((I13-2*H13+G13)/($C$4^2))</f>
        <v>286.66666666666595</v>
      </c>
      <c r="I15" s="1">
        <f t="shared" si="1"/>
        <v>279.99999999999898</v>
      </c>
      <c r="J15" s="1">
        <f t="shared" si="1"/>
        <v>273.33333333333206</v>
      </c>
      <c r="K15" s="1">
        <f t="shared" si="1"/>
        <v>266.66666666666515</v>
      </c>
      <c r="L15" s="1">
        <f t="shared" si="1"/>
        <v>259.99999999999829</v>
      </c>
      <c r="M15" s="1">
        <f t="shared" si="1"/>
        <v>253.3333333333315</v>
      </c>
      <c r="N15" s="1">
        <f t="shared" si="1"/>
        <v>246.66666666666472</v>
      </c>
      <c r="O15" s="1">
        <f t="shared" si="1"/>
        <v>239.99999999999795</v>
      </c>
      <c r="P15" s="1">
        <f t="shared" si="1"/>
        <v>233.33333333333121</v>
      </c>
      <c r="Q15" s="1">
        <f t="shared" si="1"/>
        <v>226.6666666666645</v>
      </c>
      <c r="R15" s="1">
        <f t="shared" si="1"/>
        <v>219.99999999999778</v>
      </c>
      <c r="S15" s="1">
        <f t="shared" si="1"/>
        <v>213.3333333333311</v>
      </c>
      <c r="T15" s="1">
        <f t="shared" si="1"/>
        <v>206.66666666666444</v>
      </c>
      <c r="U15" s="1">
        <f t="shared" si="1"/>
        <v>199.99999999999778</v>
      </c>
      <c r="V15" s="1">
        <f t="shared" si="1"/>
        <v>193.33333333333115</v>
      </c>
      <c r="W15" s="1">
        <f t="shared" si="1"/>
        <v>186.66666666666453</v>
      </c>
      <c r="X15" s="1">
        <f t="shared" si="1"/>
        <v>179.99999999999793</v>
      </c>
      <c r="Y15" s="1">
        <f t="shared" si="1"/>
        <v>173.33333333333132</v>
      </c>
      <c r="Z15" s="1">
        <f t="shared" si="1"/>
        <v>166.66666666666475</v>
      </c>
      <c r="AA15" s="1">
        <f t="shared" si="1"/>
        <v>159.99999999999821</v>
      </c>
      <c r="AB15" s="1">
        <f t="shared" si="1"/>
        <v>153.33333333333167</v>
      </c>
      <c r="AC15" s="1">
        <f t="shared" si="1"/>
        <v>146.66666666666515</v>
      </c>
      <c r="AD15" s="1">
        <f t="shared" si="1"/>
        <v>139.99999999999866</v>
      </c>
      <c r="AE15" s="1">
        <f t="shared" si="1"/>
        <v>133.33333333333218</v>
      </c>
      <c r="AF15" s="1">
        <f t="shared" si="1"/>
        <v>126.66666666666573</v>
      </c>
      <c r="AG15" s="1">
        <f t="shared" si="1"/>
        <v>119.99999999999929</v>
      </c>
      <c r="AH15" s="1">
        <f t="shared" si="1"/>
        <v>113.33333333333286</v>
      </c>
      <c r="AI15" s="1">
        <f t="shared" si="1"/>
        <v>106.66666666666643</v>
      </c>
    </row>
    <row r="16" spans="2:36">
      <c r="E16" t="s">
        <v>12</v>
      </c>
      <c r="F16" s="1">
        <f>C12</f>
        <v>9200</v>
      </c>
      <c r="G16" s="1">
        <f>-$C$10*((G13-F13)/$C$4)</f>
        <v>92000.000000004962</v>
      </c>
      <c r="H16" s="1">
        <f t="shared" ref="H16:AI16" si="2">-$C$10*((H13-G13)/$C$4)</f>
        <v>92000.000000004962</v>
      </c>
      <c r="I16" s="1">
        <f t="shared" si="2"/>
        <v>92000.000000004176</v>
      </c>
      <c r="J16" s="1">
        <f t="shared" si="2"/>
        <v>92000.000000003391</v>
      </c>
      <c r="K16" s="1">
        <f t="shared" si="2"/>
        <v>92000.000000003391</v>
      </c>
      <c r="L16" s="1">
        <f t="shared" si="2"/>
        <v>92000.000000002605</v>
      </c>
      <c r="M16" s="1">
        <f t="shared" si="2"/>
        <v>92000.000000001819</v>
      </c>
      <c r="N16" s="1">
        <f t="shared" si="2"/>
        <v>92000.000000001426</v>
      </c>
      <c r="O16" s="1">
        <f t="shared" si="2"/>
        <v>92000.000000001426</v>
      </c>
      <c r="P16" s="1">
        <f t="shared" si="2"/>
        <v>92000.000000001033</v>
      </c>
      <c r="Q16" s="1">
        <f t="shared" si="2"/>
        <v>92000.000000000655</v>
      </c>
      <c r="R16" s="1">
        <f t="shared" si="2"/>
        <v>92000.000000000655</v>
      </c>
      <c r="S16" s="1">
        <f t="shared" si="2"/>
        <v>92000.000000000247</v>
      </c>
      <c r="T16" s="1">
        <f t="shared" si="2"/>
        <v>91999.999999999869</v>
      </c>
      <c r="U16" s="1">
        <f t="shared" si="2"/>
        <v>91999.999999999869</v>
      </c>
      <c r="V16" s="1">
        <f t="shared" si="2"/>
        <v>91999.999999999462</v>
      </c>
      <c r="W16" s="1">
        <f t="shared" si="2"/>
        <v>91999.999999999462</v>
      </c>
      <c r="X16" s="1">
        <f t="shared" si="2"/>
        <v>91999.999999999083</v>
      </c>
      <c r="Y16" s="1">
        <f t="shared" si="2"/>
        <v>91999.999999999083</v>
      </c>
      <c r="Z16" s="1">
        <f t="shared" si="2"/>
        <v>91999.999999998676</v>
      </c>
      <c r="AA16" s="1">
        <f t="shared" si="2"/>
        <v>91999.999999998297</v>
      </c>
      <c r="AB16" s="1">
        <f t="shared" si="2"/>
        <v>91999.999999998297</v>
      </c>
      <c r="AC16" s="1">
        <f t="shared" si="2"/>
        <v>91999.999999997905</v>
      </c>
      <c r="AD16" s="1">
        <f t="shared" si="2"/>
        <v>91999.999999997512</v>
      </c>
      <c r="AE16" s="1">
        <f t="shared" si="2"/>
        <v>91999.999999997512</v>
      </c>
      <c r="AF16" s="1">
        <f t="shared" si="2"/>
        <v>91999.99999999693</v>
      </c>
      <c r="AG16" s="1">
        <f t="shared" si="2"/>
        <v>91999.99999999693</v>
      </c>
      <c r="AH16" s="1">
        <f t="shared" si="2"/>
        <v>91999.999999996726</v>
      </c>
      <c r="AI16" s="1">
        <f t="shared" si="2"/>
        <v>91999.999999996726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3:AJ15"/>
  <sheetViews>
    <sheetView zoomScale="80" zoomScaleNormal="80" workbookViewId="0">
      <selection activeCell="K9" sqref="K9"/>
    </sheetView>
  </sheetViews>
  <sheetFormatPr defaultRowHeight="14.45"/>
  <cols>
    <col min="3" max="3" width="9.5703125" bestFit="1" customWidth="1"/>
  </cols>
  <sheetData>
    <row r="3" spans="2:36">
      <c r="B3" s="2" t="s">
        <v>0</v>
      </c>
      <c r="C3" s="2">
        <v>0.1</v>
      </c>
    </row>
    <row r="4" spans="2:36">
      <c r="B4" s="2" t="s">
        <v>1</v>
      </c>
      <c r="C4" s="3">
        <f>C3/30</f>
        <v>3.3333333333333335E-3</v>
      </c>
    </row>
    <row r="5" spans="2:36">
      <c r="B5" s="2" t="s">
        <v>2</v>
      </c>
      <c r="C5" s="3">
        <f>(C9*C8*C4^2)/(2*C10)</f>
        <v>0.4333333333333334</v>
      </c>
    </row>
    <row r="6" spans="2:36">
      <c r="B6" s="2" t="s">
        <v>3</v>
      </c>
      <c r="C6" s="2">
        <v>1500</v>
      </c>
      <c r="D6">
        <v>1500.2000000000003</v>
      </c>
    </row>
    <row r="7" spans="2:36">
      <c r="B7" s="1"/>
    </row>
    <row r="8" spans="2:36">
      <c r="B8" s="2" t="s">
        <v>4</v>
      </c>
      <c r="C8" s="2">
        <v>460</v>
      </c>
    </row>
    <row r="9" spans="2:36">
      <c r="B9" s="2" t="s">
        <v>5</v>
      </c>
      <c r="C9" s="2">
        <v>7800</v>
      </c>
    </row>
    <row r="10" spans="2:36">
      <c r="B10" s="2" t="s">
        <v>6</v>
      </c>
      <c r="C10" s="2">
        <v>46</v>
      </c>
    </row>
    <row r="11" spans="2:36">
      <c r="B11" s="1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2:36">
      <c r="B12" s="2" t="s">
        <v>13</v>
      </c>
      <c r="C12" s="2">
        <v>300</v>
      </c>
      <c r="E12" t="s">
        <v>0</v>
      </c>
      <c r="F12" s="7">
        <v>0</v>
      </c>
      <c r="G12" s="9">
        <f>F12+$C$4</f>
        <v>3.3333333333333335E-3</v>
      </c>
      <c r="H12" s="9">
        <f t="shared" ref="H12:AJ12" si="0">G12+$C$4</f>
        <v>6.6666666666666671E-3</v>
      </c>
      <c r="I12" s="9">
        <f t="shared" si="0"/>
        <v>0.01</v>
      </c>
      <c r="J12" s="9">
        <f t="shared" si="0"/>
        <v>1.3333333333333334E-2</v>
      </c>
      <c r="K12" s="9">
        <f t="shared" si="0"/>
        <v>1.6666666666666666E-2</v>
      </c>
      <c r="L12" s="9">
        <f t="shared" si="0"/>
        <v>0.02</v>
      </c>
      <c r="M12" s="9">
        <f t="shared" si="0"/>
        <v>2.3333333333333334E-2</v>
      </c>
      <c r="N12" s="9">
        <f t="shared" si="0"/>
        <v>2.6666666666666668E-2</v>
      </c>
      <c r="O12" s="9">
        <f t="shared" si="0"/>
        <v>3.0000000000000002E-2</v>
      </c>
      <c r="P12" s="9">
        <f t="shared" si="0"/>
        <v>3.3333333333333333E-2</v>
      </c>
      <c r="Q12" s="9">
        <f t="shared" si="0"/>
        <v>3.6666666666666667E-2</v>
      </c>
      <c r="R12" s="9">
        <f t="shared" si="0"/>
        <v>0.04</v>
      </c>
      <c r="S12" s="9">
        <f t="shared" si="0"/>
        <v>4.3333333333333335E-2</v>
      </c>
      <c r="T12" s="9">
        <f t="shared" si="0"/>
        <v>4.6666666666666669E-2</v>
      </c>
      <c r="U12" s="9">
        <f t="shared" si="0"/>
        <v>0.05</v>
      </c>
      <c r="V12" s="9">
        <f t="shared" si="0"/>
        <v>5.3333333333333337E-2</v>
      </c>
      <c r="W12" s="9">
        <f t="shared" si="0"/>
        <v>5.6666666666666671E-2</v>
      </c>
      <c r="X12" s="9">
        <f t="shared" si="0"/>
        <v>6.0000000000000005E-2</v>
      </c>
      <c r="Y12" s="9">
        <f t="shared" si="0"/>
        <v>6.3333333333333339E-2</v>
      </c>
      <c r="Z12" s="9">
        <f t="shared" si="0"/>
        <v>6.6666666666666666E-2</v>
      </c>
      <c r="AA12" s="9">
        <f t="shared" si="0"/>
        <v>6.9999999999999993E-2</v>
      </c>
      <c r="AB12" s="9">
        <f t="shared" si="0"/>
        <v>7.333333333333332E-2</v>
      </c>
      <c r="AC12" s="9">
        <f t="shared" si="0"/>
        <v>7.6666666666666647E-2</v>
      </c>
      <c r="AD12" s="9">
        <f t="shared" si="0"/>
        <v>7.9999999999999974E-2</v>
      </c>
      <c r="AE12" s="9">
        <f t="shared" si="0"/>
        <v>8.3333333333333301E-2</v>
      </c>
      <c r="AF12" s="9">
        <f t="shared" si="0"/>
        <v>8.6666666666666628E-2</v>
      </c>
      <c r="AG12" s="9">
        <f t="shared" si="0"/>
        <v>8.9999999999999955E-2</v>
      </c>
      <c r="AH12" s="9">
        <f t="shared" si="0"/>
        <v>9.3333333333333282E-2</v>
      </c>
      <c r="AI12" s="9">
        <f t="shared" si="0"/>
        <v>9.6666666666666609E-2</v>
      </c>
      <c r="AJ12" s="9">
        <f t="shared" si="0"/>
        <v>9.9999999999999936E-2</v>
      </c>
    </row>
    <row r="13" spans="2:36">
      <c r="B13" s="2" t="s">
        <v>8</v>
      </c>
      <c r="C13" s="2">
        <v>1100</v>
      </c>
      <c r="E13" t="s">
        <v>9</v>
      </c>
      <c r="F13">
        <f>(G13+$C$12*$C$14*$C$4/$C$10)/(1+$C$14*$C$4/$C$10)</f>
        <v>953.10250589368536</v>
      </c>
      <c r="G13">
        <v>957.83513274798747</v>
      </c>
      <c r="H13">
        <v>962.58120264817671</v>
      </c>
      <c r="I13">
        <v>967.34076789607286</v>
      </c>
      <c r="J13">
        <v>972.11383622933818</v>
      </c>
      <c r="K13">
        <v>976.90037075747352</v>
      </c>
      <c r="L13">
        <v>981.70029014078068</v>
      </c>
      <c r="M13">
        <v>986.51346878393315</v>
      </c>
      <c r="N13">
        <v>991.33973734312667</v>
      </c>
      <c r="O13">
        <v>996.17888317707309</v>
      </c>
      <c r="P13">
        <v>1001.0306511726917</v>
      </c>
      <c r="Q13">
        <v>1005.8947444510402</v>
      </c>
      <c r="R13">
        <v>1010.7708254966992</v>
      </c>
      <c r="S13">
        <v>1015.6585171137008</v>
      </c>
      <c r="T13">
        <v>1020.5574038389332</v>
      </c>
      <c r="U13">
        <v>1025.4670331405362</v>
      </c>
      <c r="V13">
        <v>1030.3869170913079</v>
      </c>
      <c r="W13">
        <v>1035.3165337993137</v>
      </c>
      <c r="X13">
        <v>1040.2553293134852</v>
      </c>
      <c r="Y13">
        <v>1045.2027192733567</v>
      </c>
      <c r="Z13">
        <v>1050.1580910158823</v>
      </c>
      <c r="AA13">
        <v>1055.1208054282843</v>
      </c>
      <c r="AB13">
        <v>1060.0901992226247</v>
      </c>
      <c r="AC13">
        <v>1065.0655869727748</v>
      </c>
      <c r="AD13">
        <v>1070.0462635214819</v>
      </c>
      <c r="AE13">
        <v>1075.0315061794981</v>
      </c>
      <c r="AF13">
        <v>1080.0205772287895</v>
      </c>
      <c r="AG13">
        <v>1085.0127262589572</v>
      </c>
      <c r="AH13">
        <v>1090.0071927298275</v>
      </c>
      <c r="AI13">
        <v>1095.0032084175398</v>
      </c>
      <c r="AJ13">
        <f>C13</f>
        <v>1100</v>
      </c>
    </row>
    <row r="14" spans="2:36">
      <c r="B14" s="2" t="s">
        <v>14</v>
      </c>
      <c r="C14" s="2">
        <v>100</v>
      </c>
    </row>
    <row r="15" spans="2:36">
      <c r="E15" t="s">
        <v>10</v>
      </c>
      <c r="G15">
        <f>G13+(($C$10*$C$5)/($C$9*$C$8))*( (H13-2*G13+F13)/($C$4^2))</f>
        <v>957.84185427093098</v>
      </c>
      <c r="H15">
        <f t="shared" ref="H15:AI15" si="1">H13+(($C$10*$C$5)/($C$9*$C$8))*( (I13-2*H13+G13)/($C$4^2))</f>
        <v>962.58795032203011</v>
      </c>
      <c r="I15">
        <f t="shared" si="1"/>
        <v>967.34751943875744</v>
      </c>
      <c r="J15">
        <f t="shared" si="1"/>
        <v>972.12056932677319</v>
      </c>
      <c r="K15">
        <f t="shared" si="1"/>
        <v>976.90706318505943</v>
      </c>
      <c r="L15">
        <f t="shared" si="1"/>
        <v>981.70691977070328</v>
      </c>
      <c r="M15">
        <f t="shared" si="1"/>
        <v>986.52001374195368</v>
      </c>
      <c r="N15">
        <f t="shared" si="1"/>
        <v>991.34617598050318</v>
      </c>
      <c r="O15">
        <f t="shared" si="1"/>
        <v>996.18519425790919</v>
      </c>
      <c r="P15">
        <f t="shared" si="1"/>
        <v>1001.0368138140566</v>
      </c>
      <c r="Q15">
        <f t="shared" si="1"/>
        <v>1005.9007383346955</v>
      </c>
      <c r="R15">
        <f t="shared" si="1"/>
        <v>1010.7766307823705</v>
      </c>
      <c r="S15">
        <f t="shared" si="1"/>
        <v>1015.6641146678162</v>
      </c>
      <c r="T15">
        <f t="shared" si="1"/>
        <v>1020.5627751271185</v>
      </c>
      <c r="U15">
        <f t="shared" si="1"/>
        <v>1025.4721604651204</v>
      </c>
      <c r="V15">
        <f t="shared" si="1"/>
        <v>1030.391783469925</v>
      </c>
      <c r="W15">
        <f t="shared" si="1"/>
        <v>1035.3211232023964</v>
      </c>
      <c r="X15">
        <f t="shared" si="1"/>
        <v>1040.2596265363352</v>
      </c>
      <c r="Y15">
        <f t="shared" si="1"/>
        <v>1045.2067101646837</v>
      </c>
      <c r="Z15">
        <f t="shared" si="1"/>
        <v>1050.1617623508205</v>
      </c>
      <c r="AA15">
        <f t="shared" si="1"/>
        <v>1055.1241451192536</v>
      </c>
      <c r="AB15">
        <f t="shared" si="1"/>
        <v>1060.0931962005295</v>
      </c>
      <c r="AC15">
        <f t="shared" si="1"/>
        <v>1065.0682313720533</v>
      </c>
      <c r="AD15">
        <f t="shared" si="1"/>
        <v>1070.0485465761365</v>
      </c>
      <c r="AE15">
        <f t="shared" si="1"/>
        <v>1075.0334203751358</v>
      </c>
      <c r="AF15">
        <f t="shared" si="1"/>
        <v>1080.0221162192277</v>
      </c>
      <c r="AG15">
        <f t="shared" si="1"/>
        <v>1085.0138849793084</v>
      </c>
      <c r="AH15">
        <f t="shared" si="1"/>
        <v>1090.0079673382484</v>
      </c>
      <c r="AI15">
        <f t="shared" si="1"/>
        <v>1095.0035963649138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2021-10-31T17:58:26Z</dcterms:modified>
  <cp:category/>
  <cp:contentStatus/>
</cp:coreProperties>
</file>